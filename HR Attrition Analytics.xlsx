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9c00ff70d0b018/Documents/"/>
    </mc:Choice>
  </mc:AlternateContent>
  <xr:revisionPtr revIDLastSave="2" documentId="11_001857CDC204A37F00605DBC00F657AD253D2EB2" xr6:coauthVersionLast="47" xr6:coauthVersionMax="47" xr10:uidLastSave="{35364EBF-889A-4C0A-8D3E-8DC2307A9526}"/>
  <bookViews>
    <workbookView xWindow="-108" yWindow="-108" windowWidth="23256" windowHeight="12456" xr2:uid="{00000000-000D-0000-FFFF-FFFF00000000}"/>
  </bookViews>
  <sheets>
    <sheet name="Employee_Records" sheetId="1" r:id="rId1"/>
    <sheet name="Attrition_Data" sheetId="2" r:id="rId2"/>
    <sheet name="Satisfaction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J50" i="1"/>
  <c r="J5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</calcChain>
</file>

<file path=xl/sharedStrings.xml><?xml version="1.0" encoding="utf-8"?>
<sst xmlns="http://schemas.openxmlformats.org/spreadsheetml/2006/main" count="419" uniqueCount="88">
  <si>
    <t>Employee_ID</t>
  </si>
  <si>
    <t>Gender</t>
  </si>
  <si>
    <t>Age</t>
  </si>
  <si>
    <t>Department</t>
  </si>
  <si>
    <t>Job_Role</t>
  </si>
  <si>
    <t>Monthly_Income</t>
  </si>
  <si>
    <t>Years_at_Company</t>
  </si>
  <si>
    <t>Performance_Rating</t>
  </si>
  <si>
    <t>E001</t>
  </si>
  <si>
    <t>Male</t>
  </si>
  <si>
    <t>Sales</t>
  </si>
  <si>
    <t>Sales Executive</t>
  </si>
  <si>
    <t>E002</t>
  </si>
  <si>
    <t>Female</t>
  </si>
  <si>
    <t>HR</t>
  </si>
  <si>
    <t>HR Manager</t>
  </si>
  <si>
    <t>E003</t>
  </si>
  <si>
    <t>IT</t>
  </si>
  <si>
    <t>Software Engineer</t>
  </si>
  <si>
    <t>E004</t>
  </si>
  <si>
    <t>E005</t>
  </si>
  <si>
    <t>Finance</t>
  </si>
  <si>
    <t>Accountant</t>
  </si>
  <si>
    <t>E006</t>
  </si>
  <si>
    <t>Data Analyst</t>
  </si>
  <si>
    <t>E007</t>
  </si>
  <si>
    <t>E008</t>
  </si>
  <si>
    <t>E009</t>
  </si>
  <si>
    <t>E010</t>
  </si>
  <si>
    <t>Analyst</t>
  </si>
  <si>
    <t>E011</t>
  </si>
  <si>
    <t>E012</t>
  </si>
  <si>
    <t>E013</t>
  </si>
  <si>
    <t>Manager</t>
  </si>
  <si>
    <t>E014</t>
  </si>
  <si>
    <t>HR Executive</t>
  </si>
  <si>
    <t>E015</t>
  </si>
  <si>
    <t>E016</t>
  </si>
  <si>
    <t>E017</t>
  </si>
  <si>
    <t>E018</t>
  </si>
  <si>
    <t>E019</t>
  </si>
  <si>
    <t>Architect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</si>
  <si>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</si>
  <si>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</si>
  <si>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</si>
  <si>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</si>
  <si>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</si>
  <si>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</si>
  <si>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</si>
  <si>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</si>
  <si>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</si>
  <si>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</si>
  <si>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</si>
  <si>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</si>
  <si>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</si>
  <si>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</si>
  <si>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</si>
  <si>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</si>
  <si>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</si>
  <si>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</si>
  <si>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</si>
  <si>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</si>
  <si>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</si>
  <si>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</si>
  <si>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</si>
  <si>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</si>
  <si>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</si>
  <si>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</si>
  <si>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</si>
  <si>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</si>
  <si>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</si>
  <si>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</si>
  <si>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</si>
  <si>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Age_Group</t>
  </si>
  <si>
    <t>Income_Band</t>
  </si>
  <si>
    <t>Annual_Income</t>
  </si>
  <si>
    <t>Attrition</t>
  </si>
  <si>
    <t>Attrition_Reason</t>
  </si>
  <si>
    <t>Yes</t>
  </si>
  <si>
    <t>Low Salary</t>
  </si>
  <si>
    <t>No</t>
  </si>
  <si>
    <t>NA</t>
  </si>
  <si>
    <t>Work Pressure</t>
  </si>
  <si>
    <t>Career Growth</t>
  </si>
  <si>
    <t>Relocation</t>
  </si>
  <si>
    <t>Employee_Status</t>
  </si>
  <si>
    <t>Job_Satisfaction</t>
  </si>
  <si>
    <t>Work_Life_Balance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</si>
</sst>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gency FB"/>
      <family val="2"/>
    </font>
    <font>
      <b/>
      <sz val="14"/>
      <color theme="0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C33" workbookViewId="0">
      <selection activeCell="L54" sqref="L54"/>
    </sheetView>
  </sheetViews>
  <sheetFormatPr defaultColWidth="12.77734375" defaultRowHeight="14.4" x14ac:dyDescent="0.3"/>
  <cols>
    <col min="1" max="1" width="14.5546875" customWidth="1"/>
    <col min="2" max="2" width="8.6640625" customWidth="1"/>
    <col min="3" max="3" width="4.88671875" customWidth="1"/>
    <col min="4" max="4" width="13.6640625" customWidth="1"/>
    <col min="5" max="5" width="16" customWidth="1"/>
    <col min="6" max="6" width="18.88671875" customWidth="1"/>
    <col min="7" max="7" width="21" customWidth="1"/>
    <col min="8" max="8" width="22.44140625" customWidth="1"/>
  </cols>
  <sheetData>
    <row r="1" spans="1:12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73</v>
      </c>
      <c r="J1" s="1" t="s">
        <v>74</v>
      </c>
      <c r="K1" s="1" t="s">
        <v>74</v>
      </c>
      <c r="L1" s="1" t="s">
        <v>75</v>
      </c>
    </row>
    <row r="2" spans="1:12" x14ac:dyDescent="0.3">
      <c r="A2" t="s">
        <v>8</v>
      </c>
      <c r="B2" t="s">
        <v>9</v>
      </c>
      <c r="C2">
        <v>29</v>
      </c>
      <c r="D2" t="s">
        <v>10</v>
      </c>
      <c r="E2" t="s">
        <v>11</v>
      </c>
      <c r="F2">
        <v>32000</v>
      </c>
      <c r="G2">
        <v>3</v>
      </c>
      <c r="H2">
        <v>3</v>
      </c>
      <c r="I2" t="str">
        <f>IF(C2&lt;30,"Below 30",IF(C2&lt;=40,"30-40","above40"))</f>
        <v>Below 30</v>
      </c>
      <c r="J2" t="str">
        <f>IF(F2&lt;35000,"Low",IF(F2&lt;=60000,"Medium","High"))</f>
        <v>Low</v>
      </c>
      <c r="K2">
        <f>F2*12</f>
        <v>384000</v>
      </c>
      <c r="L2">
        <f>F2*12</f>
        <v>384000</v>
      </c>
    </row>
    <row r="3" spans="1:12" x14ac:dyDescent="0.3">
      <c r="A3" t="s">
        <v>12</v>
      </c>
      <c r="B3" t="s">
        <v>13</v>
      </c>
      <c r="C3">
        <v>35</v>
      </c>
      <c r="D3" t="s">
        <v>14</v>
      </c>
      <c r="E3" t="s">
        <v>15</v>
      </c>
      <c r="F3">
        <v>52000</v>
      </c>
      <c r="G3">
        <v>7</v>
      </c>
      <c r="H3">
        <v>4</v>
      </c>
      <c r="I3" t="str">
        <f t="shared" ref="I3:I51" si="0">IF(C3&lt;30,"Below 30",IF(C3&lt;=40,"30-40","above40"))</f>
        <v>30-40</v>
      </c>
      <c r="J3" t="str">
        <f t="shared" ref="J3:J51" si="1">IF(F3&lt;35000,"Low",IF(F3&lt;=60000,"Medium","High"))</f>
        <v>Medium</v>
      </c>
      <c r="K3">
        <f t="shared" ref="K3:K51" si="2">F3*12</f>
        <v>624000</v>
      </c>
      <c r="L3">
        <f t="shared" ref="L3:L51" si="3">F3*12</f>
        <v>624000</v>
      </c>
    </row>
    <row r="4" spans="1:12" x14ac:dyDescent="0.3">
      <c r="A4" t="s">
        <v>16</v>
      </c>
      <c r="B4" t="s">
        <v>9</v>
      </c>
      <c r="C4">
        <v>41</v>
      </c>
      <c r="D4" t="s">
        <v>17</v>
      </c>
      <c r="E4" t="s">
        <v>18</v>
      </c>
      <c r="F4">
        <v>68000</v>
      </c>
      <c r="G4">
        <v>10</v>
      </c>
      <c r="H4">
        <v>4</v>
      </c>
      <c r="I4" t="str">
        <f t="shared" si="0"/>
        <v>above40</v>
      </c>
      <c r="J4" t="str">
        <f t="shared" si="1"/>
        <v>High</v>
      </c>
      <c r="K4">
        <f t="shared" si="2"/>
        <v>816000</v>
      </c>
      <c r="L4">
        <f t="shared" si="3"/>
        <v>816000</v>
      </c>
    </row>
    <row r="5" spans="1:12" x14ac:dyDescent="0.3">
      <c r="A5" t="s">
        <v>19</v>
      </c>
      <c r="B5" t="s">
        <v>13</v>
      </c>
      <c r="C5">
        <v>26</v>
      </c>
      <c r="D5" t="s">
        <v>10</v>
      </c>
      <c r="E5" t="s">
        <v>11</v>
      </c>
      <c r="F5">
        <v>30000</v>
      </c>
      <c r="G5">
        <v>1</v>
      </c>
      <c r="H5">
        <v>2</v>
      </c>
      <c r="I5" t="str">
        <f t="shared" si="0"/>
        <v>Below 30</v>
      </c>
      <c r="J5" t="str">
        <f t="shared" si="1"/>
        <v>Low</v>
      </c>
      <c r="K5">
        <f t="shared" si="2"/>
        <v>360000</v>
      </c>
      <c r="L5">
        <f t="shared" si="3"/>
        <v>360000</v>
      </c>
    </row>
    <row r="6" spans="1:12" x14ac:dyDescent="0.3">
      <c r="A6" t="s">
        <v>20</v>
      </c>
      <c r="B6" t="s">
        <v>9</v>
      </c>
      <c r="C6">
        <v>38</v>
      </c>
      <c r="D6" t="s">
        <v>21</v>
      </c>
      <c r="E6" t="s">
        <v>22</v>
      </c>
      <c r="F6">
        <v>58000</v>
      </c>
      <c r="G6">
        <v>6</v>
      </c>
      <c r="H6">
        <v>3</v>
      </c>
      <c r="I6" t="str">
        <f t="shared" si="0"/>
        <v>30-40</v>
      </c>
      <c r="J6" t="str">
        <f t="shared" si="1"/>
        <v>Medium</v>
      </c>
      <c r="K6">
        <f t="shared" si="2"/>
        <v>696000</v>
      </c>
      <c r="L6">
        <f t="shared" si="3"/>
        <v>696000</v>
      </c>
    </row>
    <row r="7" spans="1:12" x14ac:dyDescent="0.3">
      <c r="A7" t="s">
        <v>23</v>
      </c>
      <c r="B7" t="s">
        <v>13</v>
      </c>
      <c r="C7">
        <v>32</v>
      </c>
      <c r="D7" t="s">
        <v>17</v>
      </c>
      <c r="E7" t="s">
        <v>24</v>
      </c>
      <c r="F7">
        <v>60000</v>
      </c>
      <c r="G7">
        <v>4</v>
      </c>
      <c r="H7">
        <v>4</v>
      </c>
      <c r="I7" t="str">
        <f t="shared" si="0"/>
        <v>30-40</v>
      </c>
      <c r="J7" t="str">
        <f t="shared" si="1"/>
        <v>Medium</v>
      </c>
      <c r="K7">
        <f t="shared" si="2"/>
        <v>720000</v>
      </c>
      <c r="L7">
        <f t="shared" si="3"/>
        <v>720000</v>
      </c>
    </row>
    <row r="8" spans="1:12" x14ac:dyDescent="0.3">
      <c r="A8" t="s">
        <v>25</v>
      </c>
      <c r="B8" t="s">
        <v>9</v>
      </c>
      <c r="C8">
        <v>28</v>
      </c>
      <c r="D8" t="s">
        <v>10</v>
      </c>
      <c r="E8" t="s">
        <v>11</v>
      </c>
      <c r="F8">
        <v>33000</v>
      </c>
      <c r="G8">
        <v>2</v>
      </c>
      <c r="H8">
        <v>2</v>
      </c>
      <c r="I8" t="str">
        <f t="shared" si="0"/>
        <v>Below 30</v>
      </c>
      <c r="J8" t="str">
        <f t="shared" si="1"/>
        <v>Low</v>
      </c>
      <c r="K8">
        <f t="shared" si="2"/>
        <v>396000</v>
      </c>
      <c r="L8">
        <f t="shared" si="3"/>
        <v>396000</v>
      </c>
    </row>
    <row r="9" spans="1:12" x14ac:dyDescent="0.3">
      <c r="A9" t="s">
        <v>26</v>
      </c>
      <c r="B9" t="s">
        <v>13</v>
      </c>
      <c r="C9">
        <v>45</v>
      </c>
      <c r="D9" t="s">
        <v>14</v>
      </c>
      <c r="E9" t="s">
        <v>15</v>
      </c>
      <c r="F9">
        <v>75000</v>
      </c>
      <c r="G9">
        <v>15</v>
      </c>
      <c r="H9">
        <v>5</v>
      </c>
      <c r="I9" t="str">
        <f t="shared" si="0"/>
        <v>above40</v>
      </c>
      <c r="J9" t="str">
        <f t="shared" si="1"/>
        <v>High</v>
      </c>
      <c r="K9">
        <f t="shared" si="2"/>
        <v>900000</v>
      </c>
      <c r="L9">
        <f t="shared" si="3"/>
        <v>900000</v>
      </c>
    </row>
    <row r="10" spans="1:12" x14ac:dyDescent="0.3">
      <c r="A10" t="s">
        <v>27</v>
      </c>
      <c r="B10" t="s">
        <v>9</v>
      </c>
      <c r="C10">
        <v>34</v>
      </c>
      <c r="D10" t="s">
        <v>17</v>
      </c>
      <c r="E10" t="s">
        <v>18</v>
      </c>
      <c r="F10">
        <v>64000</v>
      </c>
      <c r="G10">
        <v>5</v>
      </c>
      <c r="H10">
        <v>3</v>
      </c>
      <c r="I10" t="str">
        <f t="shared" si="0"/>
        <v>30-40</v>
      </c>
      <c r="J10" t="str">
        <f t="shared" si="1"/>
        <v>High</v>
      </c>
      <c r="K10">
        <f t="shared" si="2"/>
        <v>768000</v>
      </c>
      <c r="L10">
        <f t="shared" si="3"/>
        <v>768000</v>
      </c>
    </row>
    <row r="11" spans="1:12" x14ac:dyDescent="0.3">
      <c r="A11" t="s">
        <v>28</v>
      </c>
      <c r="B11" t="s">
        <v>13</v>
      </c>
      <c r="C11">
        <v>27</v>
      </c>
      <c r="D11" t="s">
        <v>21</v>
      </c>
      <c r="E11" t="s">
        <v>29</v>
      </c>
      <c r="F11">
        <v>42000</v>
      </c>
      <c r="G11">
        <v>2</v>
      </c>
      <c r="H11">
        <v>3</v>
      </c>
      <c r="I11" t="str">
        <f t="shared" si="0"/>
        <v>Below 30</v>
      </c>
      <c r="J11" t="str">
        <f t="shared" si="1"/>
        <v>Medium</v>
      </c>
      <c r="K11">
        <f t="shared" si="2"/>
        <v>504000</v>
      </c>
      <c r="L11">
        <f t="shared" si="3"/>
        <v>504000</v>
      </c>
    </row>
    <row r="12" spans="1:12" x14ac:dyDescent="0.3">
      <c r="A12" t="s">
        <v>30</v>
      </c>
      <c r="B12" t="s">
        <v>9</v>
      </c>
      <c r="C12">
        <v>31</v>
      </c>
      <c r="D12" t="s">
        <v>10</v>
      </c>
      <c r="E12" t="s">
        <v>11</v>
      </c>
      <c r="F12">
        <v>35000</v>
      </c>
      <c r="G12">
        <v>4</v>
      </c>
      <c r="H12">
        <v>3</v>
      </c>
      <c r="I12" t="str">
        <f t="shared" si="0"/>
        <v>30-40</v>
      </c>
      <c r="J12" t="str">
        <f t="shared" si="1"/>
        <v>Medium</v>
      </c>
      <c r="K12">
        <f t="shared" si="2"/>
        <v>420000</v>
      </c>
      <c r="L12">
        <f t="shared" si="3"/>
        <v>420000</v>
      </c>
    </row>
    <row r="13" spans="1:12" x14ac:dyDescent="0.3">
      <c r="A13" t="s">
        <v>31</v>
      </c>
      <c r="B13" t="s">
        <v>13</v>
      </c>
      <c r="C13">
        <v>36</v>
      </c>
      <c r="D13" t="s">
        <v>17</v>
      </c>
      <c r="E13" t="s">
        <v>18</v>
      </c>
      <c r="F13">
        <v>70000</v>
      </c>
      <c r="G13">
        <v>8</v>
      </c>
      <c r="H13">
        <v>4</v>
      </c>
      <c r="I13" t="str">
        <f t="shared" si="0"/>
        <v>30-40</v>
      </c>
      <c r="J13" t="str">
        <f t="shared" si="1"/>
        <v>High</v>
      </c>
      <c r="K13">
        <f t="shared" si="2"/>
        <v>840000</v>
      </c>
      <c r="L13">
        <f t="shared" si="3"/>
        <v>840000</v>
      </c>
    </row>
    <row r="14" spans="1:12" x14ac:dyDescent="0.3">
      <c r="A14" t="s">
        <v>32</v>
      </c>
      <c r="B14" t="s">
        <v>9</v>
      </c>
      <c r="C14">
        <v>42</v>
      </c>
      <c r="D14" t="s">
        <v>21</v>
      </c>
      <c r="E14" t="s">
        <v>33</v>
      </c>
      <c r="F14">
        <v>82000</v>
      </c>
      <c r="G14">
        <v>12</v>
      </c>
      <c r="H14">
        <v>5</v>
      </c>
      <c r="I14" t="str">
        <f t="shared" si="0"/>
        <v>above40</v>
      </c>
      <c r="J14" t="str">
        <f t="shared" si="1"/>
        <v>High</v>
      </c>
      <c r="K14">
        <f t="shared" si="2"/>
        <v>984000</v>
      </c>
      <c r="L14">
        <f t="shared" si="3"/>
        <v>984000</v>
      </c>
    </row>
    <row r="15" spans="1:12" x14ac:dyDescent="0.3">
      <c r="A15" t="s">
        <v>34</v>
      </c>
      <c r="B15" t="s">
        <v>13</v>
      </c>
      <c r="C15">
        <v>29</v>
      </c>
      <c r="D15" t="s">
        <v>14</v>
      </c>
      <c r="E15" t="s">
        <v>35</v>
      </c>
      <c r="F15">
        <v>38000</v>
      </c>
      <c r="G15">
        <v>3</v>
      </c>
      <c r="H15">
        <v>3</v>
      </c>
      <c r="I15" t="str">
        <f t="shared" si="0"/>
        <v>Below 30</v>
      </c>
      <c r="J15" t="str">
        <f t="shared" si="1"/>
        <v>Medium</v>
      </c>
      <c r="K15">
        <f t="shared" si="2"/>
        <v>456000</v>
      </c>
      <c r="L15">
        <f t="shared" si="3"/>
        <v>456000</v>
      </c>
    </row>
    <row r="16" spans="1:12" x14ac:dyDescent="0.3">
      <c r="A16" t="s">
        <v>36</v>
      </c>
      <c r="B16" t="s">
        <v>9</v>
      </c>
      <c r="C16">
        <v>26</v>
      </c>
      <c r="D16" t="s">
        <v>10</v>
      </c>
      <c r="E16" t="s">
        <v>11</v>
      </c>
      <c r="F16">
        <v>29000</v>
      </c>
      <c r="G16">
        <v>1</v>
      </c>
      <c r="H16">
        <v>2</v>
      </c>
      <c r="I16" t="str">
        <f t="shared" si="0"/>
        <v>Below 30</v>
      </c>
      <c r="J16" t="str">
        <f t="shared" si="1"/>
        <v>Low</v>
      </c>
      <c r="K16">
        <f t="shared" si="2"/>
        <v>348000</v>
      </c>
      <c r="L16">
        <f t="shared" si="3"/>
        <v>348000</v>
      </c>
    </row>
    <row r="17" spans="1:12" x14ac:dyDescent="0.3">
      <c r="A17" t="s">
        <v>37</v>
      </c>
      <c r="B17" t="s">
        <v>13</v>
      </c>
      <c r="C17">
        <v>33</v>
      </c>
      <c r="D17" t="s">
        <v>17</v>
      </c>
      <c r="E17" t="s">
        <v>24</v>
      </c>
      <c r="F17">
        <v>62000</v>
      </c>
      <c r="G17">
        <v>5</v>
      </c>
      <c r="H17">
        <v>4</v>
      </c>
      <c r="I17" t="str">
        <f t="shared" si="0"/>
        <v>30-40</v>
      </c>
      <c r="J17" t="str">
        <f t="shared" si="1"/>
        <v>High</v>
      </c>
      <c r="K17">
        <f t="shared" si="2"/>
        <v>744000</v>
      </c>
      <c r="L17">
        <f t="shared" si="3"/>
        <v>744000</v>
      </c>
    </row>
    <row r="18" spans="1:12" x14ac:dyDescent="0.3">
      <c r="A18" t="s">
        <v>38</v>
      </c>
      <c r="B18" t="s">
        <v>9</v>
      </c>
      <c r="C18">
        <v>39</v>
      </c>
      <c r="D18" t="s">
        <v>21</v>
      </c>
      <c r="E18" t="s">
        <v>22</v>
      </c>
      <c r="F18">
        <v>60000</v>
      </c>
      <c r="G18">
        <v>7</v>
      </c>
      <c r="H18">
        <v>3</v>
      </c>
      <c r="I18" t="str">
        <f t="shared" si="0"/>
        <v>30-40</v>
      </c>
      <c r="J18" t="str">
        <f t="shared" si="1"/>
        <v>Medium</v>
      </c>
      <c r="K18">
        <f t="shared" si="2"/>
        <v>720000</v>
      </c>
      <c r="L18">
        <f t="shared" si="3"/>
        <v>720000</v>
      </c>
    </row>
    <row r="19" spans="1:12" x14ac:dyDescent="0.3">
      <c r="A19" t="s">
        <v>39</v>
      </c>
      <c r="B19" t="s">
        <v>13</v>
      </c>
      <c r="C19">
        <v>28</v>
      </c>
      <c r="D19" t="s">
        <v>10</v>
      </c>
      <c r="E19" t="s">
        <v>11</v>
      </c>
      <c r="F19">
        <v>34000</v>
      </c>
      <c r="G19">
        <v>2</v>
      </c>
      <c r="H19">
        <v>2</v>
      </c>
      <c r="I19" t="str">
        <f t="shared" si="0"/>
        <v>Below 30</v>
      </c>
      <c r="J19" t="str">
        <f t="shared" si="1"/>
        <v>Low</v>
      </c>
      <c r="K19">
        <f t="shared" si="2"/>
        <v>408000</v>
      </c>
      <c r="L19">
        <f t="shared" si="3"/>
        <v>408000</v>
      </c>
    </row>
    <row r="20" spans="1:12" x14ac:dyDescent="0.3">
      <c r="A20" t="s">
        <v>40</v>
      </c>
      <c r="B20" t="s">
        <v>9</v>
      </c>
      <c r="C20">
        <v>44</v>
      </c>
      <c r="D20" t="s">
        <v>17</v>
      </c>
      <c r="E20" t="s">
        <v>41</v>
      </c>
      <c r="F20">
        <v>90000</v>
      </c>
      <c r="G20">
        <v>14</v>
      </c>
      <c r="H20">
        <v>5</v>
      </c>
      <c r="I20" t="str">
        <f t="shared" si="0"/>
        <v>above40</v>
      </c>
      <c r="J20" t="str">
        <f t="shared" si="1"/>
        <v>High</v>
      </c>
      <c r="K20">
        <f t="shared" si="2"/>
        <v>1080000</v>
      </c>
      <c r="L20">
        <f t="shared" si="3"/>
        <v>1080000</v>
      </c>
    </row>
    <row r="21" spans="1:12" x14ac:dyDescent="0.3">
      <c r="A21" t="s">
        <v>42</v>
      </c>
      <c r="B21" t="s">
        <v>13</v>
      </c>
      <c r="C21">
        <v>30</v>
      </c>
      <c r="D21" t="s">
        <v>14</v>
      </c>
      <c r="E21" t="s">
        <v>35</v>
      </c>
      <c r="F21">
        <v>40000</v>
      </c>
      <c r="G21">
        <v>4</v>
      </c>
      <c r="H21">
        <v>3</v>
      </c>
      <c r="I21" t="str">
        <f t="shared" si="0"/>
        <v>30-40</v>
      </c>
      <c r="J21" t="str">
        <f t="shared" si="1"/>
        <v>Medium</v>
      </c>
      <c r="K21">
        <f t="shared" si="2"/>
        <v>480000</v>
      </c>
      <c r="L21">
        <f t="shared" si="3"/>
        <v>480000</v>
      </c>
    </row>
    <row r="22" spans="1:12" x14ac:dyDescent="0.3">
      <c r="A22" t="s">
        <v>43</v>
      </c>
      <c r="B22" t="s">
        <v>9</v>
      </c>
      <c r="C22">
        <v>27</v>
      </c>
      <c r="D22" t="s">
        <v>10</v>
      </c>
      <c r="E22" t="s">
        <v>11</v>
      </c>
      <c r="F22">
        <v>31000</v>
      </c>
      <c r="G22">
        <v>2</v>
      </c>
      <c r="H22">
        <v>2</v>
      </c>
      <c r="I22" t="str">
        <f t="shared" si="0"/>
        <v>Below 30</v>
      </c>
      <c r="J22" t="str">
        <f t="shared" si="1"/>
        <v>Low</v>
      </c>
      <c r="K22">
        <f t="shared" si="2"/>
        <v>372000</v>
      </c>
      <c r="L22">
        <f t="shared" si="3"/>
        <v>372000</v>
      </c>
    </row>
    <row r="23" spans="1:12" x14ac:dyDescent="0.3">
      <c r="A23" t="s">
        <v>44</v>
      </c>
      <c r="B23" t="s">
        <v>13</v>
      </c>
      <c r="C23">
        <v>37</v>
      </c>
      <c r="D23" t="s">
        <v>17</v>
      </c>
      <c r="E23" t="s">
        <v>18</v>
      </c>
      <c r="F23">
        <v>72000</v>
      </c>
      <c r="G23">
        <v>9</v>
      </c>
      <c r="H23">
        <v>4</v>
      </c>
      <c r="I23" t="str">
        <f t="shared" si="0"/>
        <v>30-40</v>
      </c>
      <c r="J23" t="str">
        <f t="shared" si="1"/>
        <v>High</v>
      </c>
      <c r="K23">
        <f t="shared" si="2"/>
        <v>864000</v>
      </c>
      <c r="L23">
        <f t="shared" si="3"/>
        <v>864000</v>
      </c>
    </row>
    <row r="24" spans="1:12" x14ac:dyDescent="0.3">
      <c r="A24" t="s">
        <v>45</v>
      </c>
      <c r="B24" t="s">
        <v>9</v>
      </c>
      <c r="C24">
        <v>41</v>
      </c>
      <c r="D24" t="s">
        <v>21</v>
      </c>
      <c r="E24" t="s">
        <v>33</v>
      </c>
      <c r="F24">
        <v>85000</v>
      </c>
      <c r="G24">
        <v>13</v>
      </c>
      <c r="H24">
        <v>5</v>
      </c>
      <c r="I24" t="str">
        <f t="shared" si="0"/>
        <v>above40</v>
      </c>
      <c r="J24" t="str">
        <f t="shared" si="1"/>
        <v>High</v>
      </c>
      <c r="K24">
        <f t="shared" si="2"/>
        <v>1020000</v>
      </c>
      <c r="L24">
        <f t="shared" si="3"/>
        <v>1020000</v>
      </c>
    </row>
    <row r="25" spans="1:12" x14ac:dyDescent="0.3">
      <c r="A25" t="s">
        <v>46</v>
      </c>
      <c r="B25" t="s">
        <v>13</v>
      </c>
      <c r="C25">
        <v>34</v>
      </c>
      <c r="D25" t="s">
        <v>14</v>
      </c>
      <c r="E25" t="s">
        <v>15</v>
      </c>
      <c r="F25">
        <v>68000</v>
      </c>
      <c r="G25">
        <v>10</v>
      </c>
      <c r="H25">
        <v>4</v>
      </c>
      <c r="I25" t="str">
        <f t="shared" si="0"/>
        <v>30-40</v>
      </c>
      <c r="J25" t="str">
        <f t="shared" si="1"/>
        <v>High</v>
      </c>
      <c r="K25">
        <f t="shared" si="2"/>
        <v>816000</v>
      </c>
      <c r="L25">
        <f t="shared" si="3"/>
        <v>816000</v>
      </c>
    </row>
    <row r="26" spans="1:12" x14ac:dyDescent="0.3">
      <c r="A26" t="s">
        <v>47</v>
      </c>
      <c r="B26" t="s">
        <v>9</v>
      </c>
      <c r="C26">
        <v>29</v>
      </c>
      <c r="D26" t="s">
        <v>17</v>
      </c>
      <c r="E26" t="s">
        <v>24</v>
      </c>
      <c r="F26">
        <v>59000</v>
      </c>
      <c r="G26">
        <v>3</v>
      </c>
      <c r="H26">
        <v>3</v>
      </c>
      <c r="I26" t="str">
        <f t="shared" si="0"/>
        <v>Below 30</v>
      </c>
      <c r="J26" t="str">
        <f t="shared" si="1"/>
        <v>Medium</v>
      </c>
      <c r="K26">
        <f t="shared" si="2"/>
        <v>708000</v>
      </c>
      <c r="L26">
        <f t="shared" si="3"/>
        <v>708000</v>
      </c>
    </row>
    <row r="27" spans="1:12" x14ac:dyDescent="0.3">
      <c r="A27" t="s">
        <v>48</v>
      </c>
      <c r="B27" t="s">
        <v>13</v>
      </c>
      <c r="C27">
        <v>26</v>
      </c>
      <c r="D27" t="s">
        <v>10</v>
      </c>
      <c r="E27" t="s">
        <v>11</v>
      </c>
      <c r="F27">
        <v>28000</v>
      </c>
      <c r="G27">
        <v>1</v>
      </c>
      <c r="H27">
        <v>2</v>
      </c>
      <c r="I27" t="str">
        <f t="shared" si="0"/>
        <v>Below 30</v>
      </c>
      <c r="J27" t="str">
        <f t="shared" si="1"/>
        <v>Low</v>
      </c>
      <c r="K27">
        <f t="shared" si="2"/>
        <v>336000</v>
      </c>
      <c r="L27">
        <f t="shared" si="3"/>
        <v>336000</v>
      </c>
    </row>
    <row r="28" spans="1:12" x14ac:dyDescent="0.3">
      <c r="A28" t="s">
        <v>49</v>
      </c>
      <c r="B28" t="s">
        <v>9</v>
      </c>
      <c r="C28">
        <v>35</v>
      </c>
      <c r="D28" t="s">
        <v>21</v>
      </c>
      <c r="E28" t="s">
        <v>29</v>
      </c>
      <c r="F28">
        <v>52000</v>
      </c>
      <c r="G28">
        <v>6</v>
      </c>
      <c r="H28">
        <v>3</v>
      </c>
      <c r="I28" t="str">
        <f t="shared" si="0"/>
        <v>30-40</v>
      </c>
      <c r="J28" t="str">
        <f t="shared" si="1"/>
        <v>Medium</v>
      </c>
      <c r="K28">
        <f t="shared" si="2"/>
        <v>624000</v>
      </c>
      <c r="L28">
        <f t="shared" si="3"/>
        <v>624000</v>
      </c>
    </row>
    <row r="29" spans="1:12" x14ac:dyDescent="0.3">
      <c r="A29" t="s">
        <v>50</v>
      </c>
      <c r="B29" t="s">
        <v>13</v>
      </c>
      <c r="C29">
        <v>40</v>
      </c>
      <c r="D29" t="s">
        <v>17</v>
      </c>
      <c r="E29" t="s">
        <v>18</v>
      </c>
      <c r="F29">
        <v>76000</v>
      </c>
      <c r="G29">
        <v>11</v>
      </c>
      <c r="H29">
        <v>4</v>
      </c>
      <c r="I29" t="str">
        <f t="shared" si="0"/>
        <v>30-40</v>
      </c>
      <c r="J29" t="str">
        <f t="shared" si="1"/>
        <v>High</v>
      </c>
      <c r="K29">
        <f t="shared" si="2"/>
        <v>912000</v>
      </c>
      <c r="L29">
        <f t="shared" si="3"/>
        <v>912000</v>
      </c>
    </row>
    <row r="30" spans="1:12" x14ac:dyDescent="0.3">
      <c r="A30" t="s">
        <v>51</v>
      </c>
      <c r="B30" t="s">
        <v>9</v>
      </c>
      <c r="C30">
        <v>32</v>
      </c>
      <c r="D30" t="s">
        <v>14</v>
      </c>
      <c r="E30" t="s">
        <v>35</v>
      </c>
      <c r="F30">
        <v>42000</v>
      </c>
      <c r="G30">
        <v>5</v>
      </c>
      <c r="H30">
        <v>3</v>
      </c>
      <c r="I30" t="str">
        <f t="shared" si="0"/>
        <v>30-40</v>
      </c>
      <c r="J30" t="str">
        <f t="shared" si="1"/>
        <v>Medium</v>
      </c>
      <c r="K30">
        <f t="shared" si="2"/>
        <v>504000</v>
      </c>
      <c r="L30">
        <f t="shared" si="3"/>
        <v>504000</v>
      </c>
    </row>
    <row r="31" spans="1:12" x14ac:dyDescent="0.3">
      <c r="A31" t="s">
        <v>52</v>
      </c>
      <c r="B31" t="s">
        <v>13</v>
      </c>
      <c r="C31">
        <v>28</v>
      </c>
      <c r="D31" t="s">
        <v>10</v>
      </c>
      <c r="E31" t="s">
        <v>11</v>
      </c>
      <c r="F31">
        <v>33000</v>
      </c>
      <c r="G31">
        <v>2</v>
      </c>
      <c r="H31">
        <v>2</v>
      </c>
      <c r="I31" t="str">
        <f t="shared" si="0"/>
        <v>Below 30</v>
      </c>
      <c r="J31" t="str">
        <f t="shared" si="1"/>
        <v>Low</v>
      </c>
      <c r="K31">
        <f t="shared" si="2"/>
        <v>396000</v>
      </c>
      <c r="L31">
        <f t="shared" si="3"/>
        <v>396000</v>
      </c>
    </row>
    <row r="32" spans="1:12" x14ac:dyDescent="0.3">
      <c r="A32" t="s">
        <v>53</v>
      </c>
      <c r="B32" t="s">
        <v>9</v>
      </c>
      <c r="C32">
        <v>45</v>
      </c>
      <c r="D32" t="s">
        <v>17</v>
      </c>
      <c r="E32" t="s">
        <v>41</v>
      </c>
      <c r="F32">
        <v>92000</v>
      </c>
      <c r="G32">
        <v>16</v>
      </c>
      <c r="H32">
        <v>5</v>
      </c>
      <c r="I32" t="str">
        <f t="shared" si="0"/>
        <v>above40</v>
      </c>
      <c r="J32" t="str">
        <f t="shared" si="1"/>
        <v>High</v>
      </c>
      <c r="K32">
        <f t="shared" si="2"/>
        <v>1104000</v>
      </c>
      <c r="L32">
        <f t="shared" si="3"/>
        <v>1104000</v>
      </c>
    </row>
    <row r="33" spans="1:12" x14ac:dyDescent="0.3">
      <c r="A33" t="s">
        <v>54</v>
      </c>
      <c r="B33" t="s">
        <v>13</v>
      </c>
      <c r="C33">
        <v>38</v>
      </c>
      <c r="D33" t="s">
        <v>21</v>
      </c>
      <c r="E33" t="s">
        <v>22</v>
      </c>
      <c r="F33">
        <v>61000</v>
      </c>
      <c r="G33">
        <v>8</v>
      </c>
      <c r="H33">
        <v>3</v>
      </c>
      <c r="I33" t="str">
        <f t="shared" si="0"/>
        <v>30-40</v>
      </c>
      <c r="J33" t="str">
        <f t="shared" si="1"/>
        <v>High</v>
      </c>
      <c r="K33">
        <f t="shared" si="2"/>
        <v>732000</v>
      </c>
      <c r="L33">
        <f t="shared" si="3"/>
        <v>732000</v>
      </c>
    </row>
    <row r="34" spans="1:12" x14ac:dyDescent="0.3">
      <c r="A34" t="s">
        <v>55</v>
      </c>
      <c r="B34" t="s">
        <v>9</v>
      </c>
      <c r="C34">
        <v>30</v>
      </c>
      <c r="D34" t="s">
        <v>17</v>
      </c>
      <c r="E34" t="s">
        <v>24</v>
      </c>
      <c r="F34">
        <v>60000</v>
      </c>
      <c r="G34">
        <v>4</v>
      </c>
      <c r="H34">
        <v>4</v>
      </c>
      <c r="I34" t="str">
        <f t="shared" si="0"/>
        <v>30-40</v>
      </c>
      <c r="J34" t="str">
        <f t="shared" si="1"/>
        <v>Medium</v>
      </c>
      <c r="K34">
        <f t="shared" si="2"/>
        <v>720000</v>
      </c>
      <c r="L34">
        <f t="shared" si="3"/>
        <v>720000</v>
      </c>
    </row>
    <row r="35" spans="1:12" x14ac:dyDescent="0.3">
      <c r="A35" t="s">
        <v>56</v>
      </c>
      <c r="B35" t="s">
        <v>13</v>
      </c>
      <c r="C35">
        <v>27</v>
      </c>
      <c r="D35" t="s">
        <v>10</v>
      </c>
      <c r="E35" t="s">
        <v>11</v>
      </c>
      <c r="F35">
        <v>29500</v>
      </c>
      <c r="G35">
        <v>1</v>
      </c>
      <c r="H35">
        <v>2</v>
      </c>
      <c r="I35" t="str">
        <f t="shared" si="0"/>
        <v>Below 30</v>
      </c>
      <c r="J35" t="str">
        <f t="shared" si="1"/>
        <v>Low</v>
      </c>
      <c r="K35">
        <f t="shared" si="2"/>
        <v>354000</v>
      </c>
      <c r="L35">
        <f t="shared" si="3"/>
        <v>354000</v>
      </c>
    </row>
    <row r="36" spans="1:12" x14ac:dyDescent="0.3">
      <c r="A36" t="s">
        <v>57</v>
      </c>
      <c r="B36" t="s">
        <v>9</v>
      </c>
      <c r="C36">
        <v>41</v>
      </c>
      <c r="D36" t="s">
        <v>14</v>
      </c>
      <c r="E36" t="s">
        <v>15</v>
      </c>
      <c r="F36">
        <v>78000</v>
      </c>
      <c r="G36">
        <v>14</v>
      </c>
      <c r="H36">
        <v>5</v>
      </c>
      <c r="I36" t="str">
        <f t="shared" si="0"/>
        <v>above40</v>
      </c>
      <c r="J36" t="str">
        <f t="shared" si="1"/>
        <v>High</v>
      </c>
      <c r="K36">
        <f t="shared" si="2"/>
        <v>936000</v>
      </c>
      <c r="L36">
        <f t="shared" si="3"/>
        <v>936000</v>
      </c>
    </row>
    <row r="37" spans="1:12" x14ac:dyDescent="0.3">
      <c r="A37" t="s">
        <v>58</v>
      </c>
      <c r="B37" t="s">
        <v>13</v>
      </c>
      <c r="C37">
        <v>33</v>
      </c>
      <c r="D37" t="s">
        <v>17</v>
      </c>
      <c r="E37" t="s">
        <v>18</v>
      </c>
      <c r="F37">
        <v>67000</v>
      </c>
      <c r="G37">
        <v>6</v>
      </c>
      <c r="H37">
        <v>4</v>
      </c>
      <c r="I37" t="str">
        <f t="shared" si="0"/>
        <v>30-40</v>
      </c>
      <c r="J37" t="str">
        <f t="shared" si="1"/>
        <v>High</v>
      </c>
      <c r="K37">
        <f t="shared" si="2"/>
        <v>804000</v>
      </c>
      <c r="L37">
        <f t="shared" si="3"/>
        <v>804000</v>
      </c>
    </row>
    <row r="38" spans="1:12" x14ac:dyDescent="0.3">
      <c r="A38" t="s">
        <v>59</v>
      </c>
      <c r="B38" t="s">
        <v>9</v>
      </c>
      <c r="C38">
        <v>29</v>
      </c>
      <c r="D38" t="s">
        <v>21</v>
      </c>
      <c r="E38" t="s">
        <v>29</v>
      </c>
      <c r="F38">
        <v>48000</v>
      </c>
      <c r="G38">
        <v>3</v>
      </c>
      <c r="H38">
        <v>3</v>
      </c>
      <c r="I38" t="str">
        <f t="shared" si="0"/>
        <v>Below 30</v>
      </c>
      <c r="J38" t="str">
        <f t="shared" si="1"/>
        <v>Medium</v>
      </c>
      <c r="K38">
        <f t="shared" si="2"/>
        <v>576000</v>
      </c>
      <c r="L38">
        <f t="shared" si="3"/>
        <v>576000</v>
      </c>
    </row>
    <row r="39" spans="1:12" x14ac:dyDescent="0.3">
      <c r="A39" t="s">
        <v>60</v>
      </c>
      <c r="B39" t="s">
        <v>13</v>
      </c>
      <c r="C39">
        <v>36</v>
      </c>
      <c r="D39" t="s">
        <v>10</v>
      </c>
      <c r="E39" t="s">
        <v>11</v>
      </c>
      <c r="F39">
        <v>36000</v>
      </c>
      <c r="G39">
        <v>5</v>
      </c>
      <c r="H39">
        <v>3</v>
      </c>
      <c r="I39" t="str">
        <f t="shared" si="0"/>
        <v>30-40</v>
      </c>
      <c r="J39" t="str">
        <f t="shared" si="1"/>
        <v>Medium</v>
      </c>
      <c r="K39">
        <f t="shared" si="2"/>
        <v>432000</v>
      </c>
      <c r="L39">
        <f t="shared" si="3"/>
        <v>432000</v>
      </c>
    </row>
    <row r="40" spans="1:12" x14ac:dyDescent="0.3">
      <c r="A40" t="s">
        <v>61</v>
      </c>
      <c r="B40" t="s">
        <v>9</v>
      </c>
      <c r="C40">
        <v>43</v>
      </c>
      <c r="D40" t="s">
        <v>17</v>
      </c>
      <c r="E40" t="s">
        <v>33</v>
      </c>
      <c r="F40">
        <v>88000</v>
      </c>
      <c r="G40">
        <v>15</v>
      </c>
      <c r="H40">
        <v>5</v>
      </c>
      <c r="I40" t="str">
        <f t="shared" si="0"/>
        <v>above40</v>
      </c>
      <c r="J40" t="str">
        <f t="shared" si="1"/>
        <v>High</v>
      </c>
      <c r="K40">
        <f t="shared" si="2"/>
        <v>1056000</v>
      </c>
      <c r="L40">
        <f t="shared" si="3"/>
        <v>1056000</v>
      </c>
    </row>
    <row r="41" spans="1:12" x14ac:dyDescent="0.3">
      <c r="A41" t="s">
        <v>62</v>
      </c>
      <c r="B41" t="s">
        <v>13</v>
      </c>
      <c r="C41">
        <v>31</v>
      </c>
      <c r="D41" t="s">
        <v>14</v>
      </c>
      <c r="E41" t="s">
        <v>35</v>
      </c>
      <c r="F41">
        <v>43000</v>
      </c>
      <c r="G41">
        <v>5</v>
      </c>
      <c r="H41">
        <v>3</v>
      </c>
      <c r="I41" t="str">
        <f t="shared" si="0"/>
        <v>30-40</v>
      </c>
      <c r="J41" t="str">
        <f t="shared" si="1"/>
        <v>Medium</v>
      </c>
      <c r="K41">
        <f t="shared" si="2"/>
        <v>516000</v>
      </c>
      <c r="L41">
        <f t="shared" si="3"/>
        <v>516000</v>
      </c>
    </row>
    <row r="42" spans="1:12" x14ac:dyDescent="0.3">
      <c r="A42" t="s">
        <v>63</v>
      </c>
      <c r="B42" t="s">
        <v>9</v>
      </c>
      <c r="C42">
        <v>26</v>
      </c>
      <c r="D42" t="s">
        <v>10</v>
      </c>
      <c r="E42" t="s">
        <v>11</v>
      </c>
      <c r="F42">
        <v>28500</v>
      </c>
      <c r="G42">
        <v>1</v>
      </c>
      <c r="H42">
        <v>2</v>
      </c>
      <c r="I42" t="str">
        <f t="shared" si="0"/>
        <v>Below 30</v>
      </c>
      <c r="J42" t="str">
        <f t="shared" si="1"/>
        <v>Low</v>
      </c>
      <c r="K42">
        <f t="shared" si="2"/>
        <v>342000</v>
      </c>
      <c r="L42">
        <f t="shared" si="3"/>
        <v>342000</v>
      </c>
    </row>
    <row r="43" spans="1:12" x14ac:dyDescent="0.3">
      <c r="A43" t="s">
        <v>64</v>
      </c>
      <c r="B43" t="s">
        <v>13</v>
      </c>
      <c r="C43">
        <v>34</v>
      </c>
      <c r="D43" t="s">
        <v>17</v>
      </c>
      <c r="E43" t="s">
        <v>24</v>
      </c>
      <c r="F43">
        <v>61000</v>
      </c>
      <c r="G43">
        <v>5</v>
      </c>
      <c r="H43">
        <v>4</v>
      </c>
      <c r="I43" t="str">
        <f t="shared" si="0"/>
        <v>30-40</v>
      </c>
      <c r="J43" t="str">
        <f t="shared" si="1"/>
        <v>High</v>
      </c>
      <c r="K43">
        <f t="shared" si="2"/>
        <v>732000</v>
      </c>
      <c r="L43">
        <f t="shared" si="3"/>
        <v>732000</v>
      </c>
    </row>
    <row r="44" spans="1:12" x14ac:dyDescent="0.3">
      <c r="A44" t="s">
        <v>65</v>
      </c>
      <c r="B44" t="s">
        <v>9</v>
      </c>
      <c r="C44">
        <v>37</v>
      </c>
      <c r="D44" t="s">
        <v>21</v>
      </c>
      <c r="E44" t="s">
        <v>22</v>
      </c>
      <c r="F44">
        <v>63000</v>
      </c>
      <c r="G44">
        <v>9</v>
      </c>
      <c r="H44">
        <v>3</v>
      </c>
      <c r="I44" t="str">
        <f t="shared" si="0"/>
        <v>30-40</v>
      </c>
      <c r="J44" t="str">
        <f t="shared" si="1"/>
        <v>High</v>
      </c>
      <c r="K44">
        <f t="shared" si="2"/>
        <v>756000</v>
      </c>
      <c r="L44">
        <f t="shared" si="3"/>
        <v>756000</v>
      </c>
    </row>
    <row r="45" spans="1:12" x14ac:dyDescent="0.3">
      <c r="A45" t="s">
        <v>66</v>
      </c>
      <c r="B45" t="s">
        <v>13</v>
      </c>
      <c r="C45">
        <v>29</v>
      </c>
      <c r="D45" t="s">
        <v>10</v>
      </c>
      <c r="E45" t="s">
        <v>11</v>
      </c>
      <c r="F45">
        <v>32000</v>
      </c>
      <c r="G45">
        <v>2</v>
      </c>
      <c r="H45">
        <v>2</v>
      </c>
      <c r="I45" t="str">
        <f t="shared" si="0"/>
        <v>Below 30</v>
      </c>
      <c r="J45" t="str">
        <f t="shared" si="1"/>
        <v>Low</v>
      </c>
      <c r="K45">
        <f t="shared" si="2"/>
        <v>384000</v>
      </c>
      <c r="L45">
        <f t="shared" si="3"/>
        <v>384000</v>
      </c>
    </row>
    <row r="46" spans="1:12" x14ac:dyDescent="0.3">
      <c r="A46" t="s">
        <v>67</v>
      </c>
      <c r="B46" t="s">
        <v>9</v>
      </c>
      <c r="C46">
        <v>46</v>
      </c>
      <c r="D46" t="s">
        <v>17</v>
      </c>
      <c r="E46" t="s">
        <v>41</v>
      </c>
      <c r="F46">
        <v>95000</v>
      </c>
      <c r="G46">
        <v>18</v>
      </c>
      <c r="H46">
        <v>5</v>
      </c>
      <c r="I46" t="str">
        <f t="shared" si="0"/>
        <v>above40</v>
      </c>
      <c r="J46" t="str">
        <f t="shared" si="1"/>
        <v>High</v>
      </c>
      <c r="K46">
        <f t="shared" si="2"/>
        <v>1140000</v>
      </c>
      <c r="L46">
        <f t="shared" si="3"/>
        <v>1140000</v>
      </c>
    </row>
    <row r="47" spans="1:12" x14ac:dyDescent="0.3">
      <c r="A47" t="s">
        <v>68</v>
      </c>
      <c r="B47" t="s">
        <v>13</v>
      </c>
      <c r="C47">
        <v>35</v>
      </c>
      <c r="D47" t="s">
        <v>14</v>
      </c>
      <c r="E47" t="s">
        <v>15</v>
      </c>
      <c r="F47">
        <v>70000</v>
      </c>
      <c r="G47">
        <v>11</v>
      </c>
      <c r="H47">
        <v>4</v>
      </c>
      <c r="I47" t="str">
        <f t="shared" si="0"/>
        <v>30-40</v>
      </c>
      <c r="J47" t="str">
        <f t="shared" si="1"/>
        <v>High</v>
      </c>
      <c r="K47">
        <f t="shared" si="2"/>
        <v>840000</v>
      </c>
      <c r="L47">
        <f t="shared" si="3"/>
        <v>840000</v>
      </c>
    </row>
    <row r="48" spans="1:12" x14ac:dyDescent="0.3">
      <c r="A48" t="s">
        <v>69</v>
      </c>
      <c r="B48" t="s">
        <v>9</v>
      </c>
      <c r="C48">
        <v>28</v>
      </c>
      <c r="D48" t="s">
        <v>21</v>
      </c>
      <c r="E48" t="s">
        <v>29</v>
      </c>
      <c r="F48">
        <v>46000</v>
      </c>
      <c r="G48">
        <v>2</v>
      </c>
      <c r="H48">
        <v>3</v>
      </c>
      <c r="I48" t="str">
        <f t="shared" si="0"/>
        <v>Below 30</v>
      </c>
      <c r="J48" t="str">
        <f t="shared" si="1"/>
        <v>Medium</v>
      </c>
      <c r="K48">
        <f t="shared" si="2"/>
        <v>552000</v>
      </c>
      <c r="L48">
        <f t="shared" si="3"/>
        <v>552000</v>
      </c>
    </row>
    <row r="49" spans="1:12" x14ac:dyDescent="0.3">
      <c r="A49" t="s">
        <v>70</v>
      </c>
      <c r="B49" t="s">
        <v>13</v>
      </c>
      <c r="C49">
        <v>39</v>
      </c>
      <c r="D49" t="s">
        <v>17</v>
      </c>
      <c r="E49" t="s">
        <v>18</v>
      </c>
      <c r="F49">
        <v>74000</v>
      </c>
      <c r="G49">
        <v>10</v>
      </c>
      <c r="H49">
        <v>4</v>
      </c>
      <c r="I49" t="str">
        <f t="shared" si="0"/>
        <v>30-40</v>
      </c>
      <c r="J49" t="str">
        <f t="shared" si="1"/>
        <v>High</v>
      </c>
      <c r="K49">
        <f t="shared" si="2"/>
        <v>888000</v>
      </c>
      <c r="L49">
        <f t="shared" si="3"/>
        <v>888000</v>
      </c>
    </row>
    <row r="50" spans="1:12" x14ac:dyDescent="0.3">
      <c r="A50" t="s">
        <v>71</v>
      </c>
      <c r="B50" t="s">
        <v>9</v>
      </c>
      <c r="C50">
        <v>33</v>
      </c>
      <c r="D50" t="s">
        <v>10</v>
      </c>
      <c r="E50" t="s">
        <v>11</v>
      </c>
      <c r="F50">
        <v>35000</v>
      </c>
      <c r="G50">
        <v>4</v>
      </c>
      <c r="H50">
        <v>3</v>
      </c>
      <c r="I50" t="str">
        <f t="shared" si="0"/>
        <v>30-40</v>
      </c>
      <c r="J50" t="str">
        <f>IF(F50&lt;35000,"Low",IF(F50&lt;=60000,"Medium","High"))</f>
        <v>Medium</v>
      </c>
      <c r="K50">
        <f t="shared" si="2"/>
        <v>420000</v>
      </c>
      <c r="L50">
        <f t="shared" si="3"/>
        <v>420000</v>
      </c>
    </row>
    <row r="51" spans="1:12" x14ac:dyDescent="0.3">
      <c r="A51" t="s">
        <v>72</v>
      </c>
      <c r="B51" t="s">
        <v>13</v>
      </c>
      <c r="C51">
        <v>27</v>
      </c>
      <c r="D51" t="s">
        <v>14</v>
      </c>
      <c r="E51" t="s">
        <v>35</v>
      </c>
      <c r="F51">
        <v>39000</v>
      </c>
      <c r="G51">
        <v>2</v>
      </c>
      <c r="H51">
        <v>3</v>
      </c>
      <c r="I51" t="str">
        <f t="shared" si="0"/>
        <v>Below 30</v>
      </c>
      <c r="J51" t="str">
        <f t="shared" si="1"/>
        <v>Medium</v>
      </c>
      <c r="K51">
        <f t="shared" si="2"/>
        <v>468000</v>
      </c>
      <c r="L51">
        <f t="shared" si="3"/>
        <v>468000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sqref="A1:XFD1"/>
    </sheetView>
  </sheetViews>
  <sheetFormatPr defaultColWidth="14.5546875" defaultRowHeight="14.4" x14ac:dyDescent="0.3"/>
  <cols>
    <col min="1" max="4" width="16.44140625" customWidth="1"/>
  </cols>
  <sheetData>
    <row r="1" spans="1:4" s="3" customFormat="1" ht="19.2" customHeight="1" x14ac:dyDescent="0.3">
      <c r="A1" s="3" t="s">
        <v>0</v>
      </c>
      <c r="B1" s="3" t="s">
        <v>76</v>
      </c>
      <c r="C1" s="3" t="s">
        <v>77</v>
      </c>
      <c r="D1" s="3" t="s">
        <v>85</v>
      </c>
    </row>
    <row r="2" spans="1:4" x14ac:dyDescent="0.3">
      <c r="A2" t="s">
        <v>8</v>
      </c>
      <c r="B2" t="s">
        <v>78</v>
      </c>
      <c r="C2" t="s">
        <v>79</v>
      </c>
      <c r="D2" t="str">
        <f>IF(B2="Yes","Left","Active")</f>
        <v>Left</v>
      </c>
    </row>
    <row r="3" spans="1:4" x14ac:dyDescent="0.3">
      <c r="A3" t="s">
        <v>12</v>
      </c>
      <c r="B3" t="s">
        <v>80</v>
      </c>
      <c r="C3" t="s">
        <v>81</v>
      </c>
      <c r="D3" t="str">
        <f t="shared" ref="D3:D51" si="0">IF(B3="Yes","Left","Active")</f>
        <v>Active</v>
      </c>
    </row>
    <row r="4" spans="1:4" x14ac:dyDescent="0.3">
      <c r="A4" t="s">
        <v>16</v>
      </c>
      <c r="B4" t="s">
        <v>80</v>
      </c>
      <c r="C4" t="s">
        <v>81</v>
      </c>
      <c r="D4" t="str">
        <f t="shared" si="0"/>
        <v>Active</v>
      </c>
    </row>
    <row r="5" spans="1:4" x14ac:dyDescent="0.3">
      <c r="A5" t="s">
        <v>19</v>
      </c>
      <c r="B5" t="s">
        <v>78</v>
      </c>
      <c r="C5" t="s">
        <v>82</v>
      </c>
      <c r="D5" t="str">
        <f t="shared" si="0"/>
        <v>Left</v>
      </c>
    </row>
    <row r="6" spans="1:4" x14ac:dyDescent="0.3">
      <c r="A6" t="s">
        <v>20</v>
      </c>
      <c r="B6" t="s">
        <v>80</v>
      </c>
      <c r="C6" t="s">
        <v>81</v>
      </c>
      <c r="D6" t="str">
        <f t="shared" si="0"/>
        <v>Active</v>
      </c>
    </row>
    <row r="7" spans="1:4" x14ac:dyDescent="0.3">
      <c r="A7" t="s">
        <v>23</v>
      </c>
      <c r="B7" t="s">
        <v>80</v>
      </c>
      <c r="C7" t="s">
        <v>81</v>
      </c>
      <c r="D7" t="str">
        <f t="shared" si="0"/>
        <v>Active</v>
      </c>
    </row>
    <row r="8" spans="1:4" x14ac:dyDescent="0.3">
      <c r="A8" t="s">
        <v>25</v>
      </c>
      <c r="B8" t="s">
        <v>78</v>
      </c>
      <c r="C8" t="s">
        <v>83</v>
      </c>
      <c r="D8" t="str">
        <f t="shared" si="0"/>
        <v>Left</v>
      </c>
    </row>
    <row r="9" spans="1:4" x14ac:dyDescent="0.3">
      <c r="A9" t="s">
        <v>26</v>
      </c>
      <c r="B9" t="s">
        <v>80</v>
      </c>
      <c r="C9" t="s">
        <v>81</v>
      </c>
      <c r="D9" t="str">
        <f t="shared" si="0"/>
        <v>Active</v>
      </c>
    </row>
    <row r="10" spans="1:4" x14ac:dyDescent="0.3">
      <c r="A10" t="s">
        <v>27</v>
      </c>
      <c r="B10" t="s">
        <v>80</v>
      </c>
      <c r="C10" t="s">
        <v>81</v>
      </c>
      <c r="D10" t="str">
        <f t="shared" si="0"/>
        <v>Active</v>
      </c>
    </row>
    <row r="11" spans="1:4" x14ac:dyDescent="0.3">
      <c r="A11" t="s">
        <v>28</v>
      </c>
      <c r="B11" t="s">
        <v>78</v>
      </c>
      <c r="C11" t="s">
        <v>84</v>
      </c>
      <c r="D11" t="str">
        <f t="shared" si="0"/>
        <v>Left</v>
      </c>
    </row>
    <row r="12" spans="1:4" x14ac:dyDescent="0.3">
      <c r="A12" t="s">
        <v>30</v>
      </c>
      <c r="B12" t="s">
        <v>80</v>
      </c>
      <c r="C12" t="s">
        <v>81</v>
      </c>
      <c r="D12" t="str">
        <f t="shared" si="0"/>
        <v>Active</v>
      </c>
    </row>
    <row r="13" spans="1:4" x14ac:dyDescent="0.3">
      <c r="A13" t="s">
        <v>31</v>
      </c>
      <c r="B13" t="s">
        <v>80</v>
      </c>
      <c r="C13" t="s">
        <v>81</v>
      </c>
      <c r="D13" t="str">
        <f t="shared" si="0"/>
        <v>Active</v>
      </c>
    </row>
    <row r="14" spans="1:4" x14ac:dyDescent="0.3">
      <c r="A14" t="s">
        <v>32</v>
      </c>
      <c r="B14" t="s">
        <v>80</v>
      </c>
      <c r="C14" t="s">
        <v>81</v>
      </c>
      <c r="D14" t="str">
        <f t="shared" si="0"/>
        <v>Active</v>
      </c>
    </row>
    <row r="15" spans="1:4" x14ac:dyDescent="0.3">
      <c r="A15" t="s">
        <v>34</v>
      </c>
      <c r="B15" t="s">
        <v>78</v>
      </c>
      <c r="C15" t="s">
        <v>79</v>
      </c>
      <c r="D15" t="str">
        <f t="shared" si="0"/>
        <v>Left</v>
      </c>
    </row>
    <row r="16" spans="1:4" x14ac:dyDescent="0.3">
      <c r="A16" t="s">
        <v>36</v>
      </c>
      <c r="B16" t="s">
        <v>78</v>
      </c>
      <c r="C16" t="s">
        <v>82</v>
      </c>
      <c r="D16" t="str">
        <f t="shared" si="0"/>
        <v>Left</v>
      </c>
    </row>
    <row r="17" spans="1:4" x14ac:dyDescent="0.3">
      <c r="A17" t="s">
        <v>37</v>
      </c>
      <c r="B17" t="s">
        <v>80</v>
      </c>
      <c r="C17" t="s">
        <v>81</v>
      </c>
      <c r="D17" t="str">
        <f t="shared" si="0"/>
        <v>Active</v>
      </c>
    </row>
    <row r="18" spans="1:4" x14ac:dyDescent="0.3">
      <c r="A18" t="s">
        <v>38</v>
      </c>
      <c r="B18" t="s">
        <v>80</v>
      </c>
      <c r="C18" t="s">
        <v>81</v>
      </c>
      <c r="D18" t="str">
        <f t="shared" si="0"/>
        <v>Active</v>
      </c>
    </row>
    <row r="19" spans="1:4" x14ac:dyDescent="0.3">
      <c r="A19" t="s">
        <v>39</v>
      </c>
      <c r="B19" t="s">
        <v>78</v>
      </c>
      <c r="C19" t="s">
        <v>83</v>
      </c>
      <c r="D19" t="str">
        <f t="shared" si="0"/>
        <v>Left</v>
      </c>
    </row>
    <row r="20" spans="1:4" x14ac:dyDescent="0.3">
      <c r="A20" t="s">
        <v>40</v>
      </c>
      <c r="B20" t="s">
        <v>80</v>
      </c>
      <c r="C20" t="s">
        <v>81</v>
      </c>
      <c r="D20" t="str">
        <f t="shared" si="0"/>
        <v>Active</v>
      </c>
    </row>
    <row r="21" spans="1:4" x14ac:dyDescent="0.3">
      <c r="A21" t="s">
        <v>42</v>
      </c>
      <c r="B21" t="s">
        <v>80</v>
      </c>
      <c r="C21" t="s">
        <v>81</v>
      </c>
      <c r="D21" t="str">
        <f t="shared" si="0"/>
        <v>Active</v>
      </c>
    </row>
    <row r="22" spans="1:4" x14ac:dyDescent="0.3">
      <c r="A22" t="s">
        <v>43</v>
      </c>
      <c r="B22" t="s">
        <v>78</v>
      </c>
      <c r="C22" t="s">
        <v>79</v>
      </c>
      <c r="D22" t="str">
        <f t="shared" si="0"/>
        <v>Left</v>
      </c>
    </row>
    <row r="23" spans="1:4" x14ac:dyDescent="0.3">
      <c r="A23" t="s">
        <v>44</v>
      </c>
      <c r="B23" t="s">
        <v>80</v>
      </c>
      <c r="C23" t="s">
        <v>81</v>
      </c>
      <c r="D23" t="str">
        <f t="shared" si="0"/>
        <v>Active</v>
      </c>
    </row>
    <row r="24" spans="1:4" x14ac:dyDescent="0.3">
      <c r="A24" t="s">
        <v>45</v>
      </c>
      <c r="B24" t="s">
        <v>80</v>
      </c>
      <c r="C24" t="s">
        <v>81</v>
      </c>
      <c r="D24" t="str">
        <f t="shared" si="0"/>
        <v>Active</v>
      </c>
    </row>
    <row r="25" spans="1:4" x14ac:dyDescent="0.3">
      <c r="A25" t="s">
        <v>46</v>
      </c>
      <c r="B25" t="s">
        <v>80</v>
      </c>
      <c r="C25" t="s">
        <v>81</v>
      </c>
      <c r="D25" t="str">
        <f t="shared" si="0"/>
        <v>Active</v>
      </c>
    </row>
    <row r="26" spans="1:4" x14ac:dyDescent="0.3">
      <c r="A26" t="s">
        <v>47</v>
      </c>
      <c r="B26" t="s">
        <v>80</v>
      </c>
      <c r="C26" t="s">
        <v>81</v>
      </c>
      <c r="D26" t="str">
        <f t="shared" si="0"/>
        <v>Active</v>
      </c>
    </row>
    <row r="27" spans="1:4" x14ac:dyDescent="0.3">
      <c r="A27" t="s">
        <v>48</v>
      </c>
      <c r="B27" t="s">
        <v>78</v>
      </c>
      <c r="C27" t="s">
        <v>79</v>
      </c>
      <c r="D27" t="str">
        <f t="shared" si="0"/>
        <v>Left</v>
      </c>
    </row>
    <row r="28" spans="1:4" x14ac:dyDescent="0.3">
      <c r="A28" t="s">
        <v>49</v>
      </c>
      <c r="B28" t="s">
        <v>80</v>
      </c>
      <c r="C28" t="s">
        <v>81</v>
      </c>
      <c r="D28" t="str">
        <f t="shared" si="0"/>
        <v>Active</v>
      </c>
    </row>
    <row r="29" spans="1:4" x14ac:dyDescent="0.3">
      <c r="A29" t="s">
        <v>50</v>
      </c>
      <c r="B29" t="s">
        <v>80</v>
      </c>
      <c r="C29" t="s">
        <v>81</v>
      </c>
      <c r="D29" t="str">
        <f t="shared" si="0"/>
        <v>Active</v>
      </c>
    </row>
    <row r="30" spans="1:4" x14ac:dyDescent="0.3">
      <c r="A30" t="s">
        <v>51</v>
      </c>
      <c r="B30" t="s">
        <v>80</v>
      </c>
      <c r="C30" t="s">
        <v>81</v>
      </c>
      <c r="D30" t="str">
        <f t="shared" si="0"/>
        <v>Active</v>
      </c>
    </row>
    <row r="31" spans="1:4" x14ac:dyDescent="0.3">
      <c r="A31" t="s">
        <v>52</v>
      </c>
      <c r="B31" t="s">
        <v>78</v>
      </c>
      <c r="C31" t="s">
        <v>82</v>
      </c>
      <c r="D31" t="str">
        <f t="shared" si="0"/>
        <v>Left</v>
      </c>
    </row>
    <row r="32" spans="1:4" x14ac:dyDescent="0.3">
      <c r="A32" t="s">
        <v>53</v>
      </c>
      <c r="B32" t="s">
        <v>80</v>
      </c>
      <c r="C32" t="s">
        <v>81</v>
      </c>
      <c r="D32" t="str">
        <f t="shared" si="0"/>
        <v>Active</v>
      </c>
    </row>
    <row r="33" spans="1:4" x14ac:dyDescent="0.3">
      <c r="A33" t="s">
        <v>54</v>
      </c>
      <c r="B33" t="s">
        <v>80</v>
      </c>
      <c r="C33" t="s">
        <v>81</v>
      </c>
      <c r="D33" t="str">
        <f t="shared" si="0"/>
        <v>Active</v>
      </c>
    </row>
    <row r="34" spans="1:4" x14ac:dyDescent="0.3">
      <c r="A34" t="s">
        <v>55</v>
      </c>
      <c r="B34" t="s">
        <v>80</v>
      </c>
      <c r="C34" t="s">
        <v>81</v>
      </c>
      <c r="D34" t="str">
        <f t="shared" si="0"/>
        <v>Active</v>
      </c>
    </row>
    <row r="35" spans="1:4" x14ac:dyDescent="0.3">
      <c r="A35" t="s">
        <v>56</v>
      </c>
      <c r="B35" t="s">
        <v>78</v>
      </c>
      <c r="C35" t="s">
        <v>83</v>
      </c>
      <c r="D35" t="str">
        <f t="shared" si="0"/>
        <v>Left</v>
      </c>
    </row>
    <row r="36" spans="1:4" x14ac:dyDescent="0.3">
      <c r="A36" t="s">
        <v>57</v>
      </c>
      <c r="B36" t="s">
        <v>80</v>
      </c>
      <c r="C36" t="s">
        <v>81</v>
      </c>
      <c r="D36" t="str">
        <f t="shared" si="0"/>
        <v>Active</v>
      </c>
    </row>
    <row r="37" spans="1:4" x14ac:dyDescent="0.3">
      <c r="A37" t="s">
        <v>58</v>
      </c>
      <c r="B37" t="s">
        <v>80</v>
      </c>
      <c r="C37" t="s">
        <v>81</v>
      </c>
      <c r="D37" t="str">
        <f t="shared" si="0"/>
        <v>Active</v>
      </c>
    </row>
    <row r="38" spans="1:4" x14ac:dyDescent="0.3">
      <c r="A38" t="s">
        <v>59</v>
      </c>
      <c r="B38" t="s">
        <v>80</v>
      </c>
      <c r="C38" t="s">
        <v>81</v>
      </c>
      <c r="D38" t="str">
        <f t="shared" si="0"/>
        <v>Active</v>
      </c>
    </row>
    <row r="39" spans="1:4" x14ac:dyDescent="0.3">
      <c r="A39" t="s">
        <v>60</v>
      </c>
      <c r="B39" t="s">
        <v>78</v>
      </c>
      <c r="C39" t="s">
        <v>79</v>
      </c>
      <c r="D39" t="str">
        <f t="shared" si="0"/>
        <v>Left</v>
      </c>
    </row>
    <row r="40" spans="1:4" x14ac:dyDescent="0.3">
      <c r="A40" t="s">
        <v>61</v>
      </c>
      <c r="B40" t="s">
        <v>80</v>
      </c>
      <c r="C40" t="s">
        <v>81</v>
      </c>
      <c r="D40" t="str">
        <f t="shared" si="0"/>
        <v>Active</v>
      </c>
    </row>
    <row r="41" spans="1:4" x14ac:dyDescent="0.3">
      <c r="A41" t="s">
        <v>62</v>
      </c>
      <c r="B41" t="s">
        <v>80</v>
      </c>
      <c r="C41" t="s">
        <v>81</v>
      </c>
      <c r="D41" t="str">
        <f t="shared" si="0"/>
        <v>Active</v>
      </c>
    </row>
    <row r="42" spans="1:4" x14ac:dyDescent="0.3">
      <c r="A42" t="s">
        <v>63</v>
      </c>
      <c r="B42" t="s">
        <v>78</v>
      </c>
      <c r="C42" t="s">
        <v>79</v>
      </c>
      <c r="D42" t="str">
        <f t="shared" si="0"/>
        <v>Left</v>
      </c>
    </row>
    <row r="43" spans="1:4" x14ac:dyDescent="0.3">
      <c r="A43" t="s">
        <v>64</v>
      </c>
      <c r="B43" t="s">
        <v>80</v>
      </c>
      <c r="C43" t="s">
        <v>81</v>
      </c>
      <c r="D43" t="str">
        <f t="shared" si="0"/>
        <v>Active</v>
      </c>
    </row>
    <row r="44" spans="1:4" x14ac:dyDescent="0.3">
      <c r="A44" t="s">
        <v>65</v>
      </c>
      <c r="B44" t="s">
        <v>80</v>
      </c>
      <c r="C44" t="s">
        <v>81</v>
      </c>
      <c r="D44" t="str">
        <f t="shared" si="0"/>
        <v>Active</v>
      </c>
    </row>
    <row r="45" spans="1:4" x14ac:dyDescent="0.3">
      <c r="A45" t="s">
        <v>66</v>
      </c>
      <c r="B45" t="s">
        <v>78</v>
      </c>
      <c r="C45" t="s">
        <v>82</v>
      </c>
      <c r="D45" t="str">
        <f t="shared" si="0"/>
        <v>Left</v>
      </c>
    </row>
    <row r="46" spans="1:4" x14ac:dyDescent="0.3">
      <c r="A46" t="s">
        <v>67</v>
      </c>
      <c r="B46" t="s">
        <v>80</v>
      </c>
      <c r="C46" t="s">
        <v>81</v>
      </c>
      <c r="D46" t="str">
        <f t="shared" si="0"/>
        <v>Active</v>
      </c>
    </row>
    <row r="47" spans="1:4" x14ac:dyDescent="0.3">
      <c r="A47" t="s">
        <v>68</v>
      </c>
      <c r="B47" t="s">
        <v>80</v>
      </c>
      <c r="C47" t="s">
        <v>81</v>
      </c>
      <c r="D47" t="str">
        <f t="shared" si="0"/>
        <v>Active</v>
      </c>
    </row>
    <row r="48" spans="1:4" x14ac:dyDescent="0.3">
      <c r="A48" t="s">
        <v>69</v>
      </c>
      <c r="B48" t="s">
        <v>80</v>
      </c>
      <c r="C48" t="s">
        <v>81</v>
      </c>
      <c r="D48" t="str">
        <f t="shared" si="0"/>
        <v>Active</v>
      </c>
    </row>
    <row r="49" spans="1:4" x14ac:dyDescent="0.3">
      <c r="A49" t="s">
        <v>70</v>
      </c>
      <c r="B49" t="s">
        <v>80</v>
      </c>
      <c r="C49" t="s">
        <v>81</v>
      </c>
      <c r="D49" t="str">
        <f t="shared" si="0"/>
        <v>Active</v>
      </c>
    </row>
    <row r="50" spans="1:4" x14ac:dyDescent="0.3">
      <c r="A50" t="s">
        <v>71</v>
      </c>
      <c r="B50" t="s">
        <v>80</v>
      </c>
      <c r="C50" t="s">
        <v>81</v>
      </c>
      <c r="D50" t="str">
        <f t="shared" si="0"/>
        <v>Active</v>
      </c>
    </row>
    <row r="51" spans="1:4" x14ac:dyDescent="0.3">
      <c r="A51" t="s">
        <v>72</v>
      </c>
      <c r="B51" t="s">
        <v>78</v>
      </c>
      <c r="C51" t="s">
        <v>83</v>
      </c>
      <c r="D51" t="str">
        <f t="shared" si="0"/>
        <v>Left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selection activeCell="D55" sqref="D55"/>
    </sheetView>
  </sheetViews>
  <sheetFormatPr defaultRowHeight="14.4" x14ac:dyDescent="0.3"/>
  <cols>
    <col min="1" max="3" width="16" customWidth="1"/>
  </cols>
  <sheetData>
    <row r="1" spans="1:3" s="2" customFormat="1" ht="19.95" customHeight="1" x14ac:dyDescent="0.3">
      <c r="A1" s="2" t="s">
        <v>0</v>
      </c>
      <c r="B1" s="2" t="s">
        <v>86</v>
      </c>
      <c r="C1" s="2" t="s">
        <v>87</v>
      </c>
    </row>
    <row r="2" spans="1:3" x14ac:dyDescent="0.3">
      <c r="A2" t="s">
        <v>8</v>
      </c>
      <c r="B2">
        <v>2</v>
      </c>
      <c r="C2">
        <v>3</v>
      </c>
    </row>
    <row r="3" spans="1:3" x14ac:dyDescent="0.3">
      <c r="A3" t="s">
        <v>12</v>
      </c>
      <c r="B3">
        <v>4</v>
      </c>
      <c r="C3">
        <v>4</v>
      </c>
    </row>
    <row r="4" spans="1:3" x14ac:dyDescent="0.3">
      <c r="A4" t="s">
        <v>16</v>
      </c>
      <c r="B4">
        <v>3</v>
      </c>
      <c r="C4">
        <v>3</v>
      </c>
    </row>
    <row r="5" spans="1:3" x14ac:dyDescent="0.3">
      <c r="A5" t="s">
        <v>19</v>
      </c>
      <c r="B5">
        <v>2</v>
      </c>
      <c r="C5">
        <v>2</v>
      </c>
    </row>
    <row r="6" spans="1:3" x14ac:dyDescent="0.3">
      <c r="A6" t="s">
        <v>20</v>
      </c>
      <c r="B6">
        <v>3</v>
      </c>
      <c r="C6">
        <v>3</v>
      </c>
    </row>
    <row r="7" spans="1:3" x14ac:dyDescent="0.3">
      <c r="A7" t="s">
        <v>23</v>
      </c>
      <c r="B7">
        <v>4</v>
      </c>
      <c r="C7">
        <v>4</v>
      </c>
    </row>
    <row r="8" spans="1:3" x14ac:dyDescent="0.3">
      <c r="A8" t="s">
        <v>25</v>
      </c>
      <c r="B8">
        <v>2</v>
      </c>
      <c r="C8">
        <v>2</v>
      </c>
    </row>
    <row r="9" spans="1:3" x14ac:dyDescent="0.3">
      <c r="A9" t="s">
        <v>26</v>
      </c>
      <c r="B9">
        <v>5</v>
      </c>
      <c r="C9">
        <v>5</v>
      </c>
    </row>
    <row r="10" spans="1:3" x14ac:dyDescent="0.3">
      <c r="A10" t="s">
        <v>27</v>
      </c>
      <c r="B10">
        <v>3</v>
      </c>
      <c r="C10">
        <v>3</v>
      </c>
    </row>
    <row r="11" spans="1:3" x14ac:dyDescent="0.3">
      <c r="A11" t="s">
        <v>28</v>
      </c>
      <c r="B11">
        <v>2</v>
      </c>
      <c r="C11">
        <v>3</v>
      </c>
    </row>
    <row r="12" spans="1:3" x14ac:dyDescent="0.3">
      <c r="A12" t="s">
        <v>30</v>
      </c>
      <c r="B12">
        <v>3</v>
      </c>
      <c r="C12">
        <v>3</v>
      </c>
    </row>
    <row r="13" spans="1:3" x14ac:dyDescent="0.3">
      <c r="A13" t="s">
        <v>31</v>
      </c>
      <c r="B13">
        <v>4</v>
      </c>
      <c r="C13">
        <v>4</v>
      </c>
    </row>
    <row r="14" spans="1:3" x14ac:dyDescent="0.3">
      <c r="A14" t="s">
        <v>32</v>
      </c>
      <c r="B14">
        <v>5</v>
      </c>
      <c r="C14">
        <v>4</v>
      </c>
    </row>
    <row r="15" spans="1:3" x14ac:dyDescent="0.3">
      <c r="A15" t="s">
        <v>34</v>
      </c>
      <c r="B15">
        <v>2</v>
      </c>
      <c r="C15">
        <v>3</v>
      </c>
    </row>
    <row r="16" spans="1:3" x14ac:dyDescent="0.3">
      <c r="A16" t="s">
        <v>36</v>
      </c>
      <c r="B16">
        <v>2</v>
      </c>
      <c r="C16">
        <v>2</v>
      </c>
    </row>
    <row r="17" spans="1:3" x14ac:dyDescent="0.3">
      <c r="A17" t="s">
        <v>37</v>
      </c>
      <c r="B17">
        <v>4</v>
      </c>
      <c r="C17">
        <v>4</v>
      </c>
    </row>
    <row r="18" spans="1:3" x14ac:dyDescent="0.3">
      <c r="A18" t="s">
        <v>38</v>
      </c>
      <c r="B18">
        <v>3</v>
      </c>
      <c r="C18">
        <v>3</v>
      </c>
    </row>
    <row r="19" spans="1:3" x14ac:dyDescent="0.3">
      <c r="A19" t="s">
        <v>39</v>
      </c>
      <c r="B19">
        <v>2</v>
      </c>
      <c r="C19">
        <v>2</v>
      </c>
    </row>
    <row r="20" spans="1:3" x14ac:dyDescent="0.3">
      <c r="A20" t="s">
        <v>40</v>
      </c>
      <c r="B20">
        <v>5</v>
      </c>
      <c r="C20">
        <v>4</v>
      </c>
    </row>
    <row r="21" spans="1:3" x14ac:dyDescent="0.3">
      <c r="A21" t="s">
        <v>42</v>
      </c>
      <c r="B21">
        <v>3</v>
      </c>
      <c r="C21">
        <v>3</v>
      </c>
    </row>
    <row r="22" spans="1:3" x14ac:dyDescent="0.3">
      <c r="A22" t="s">
        <v>43</v>
      </c>
      <c r="B22">
        <v>2</v>
      </c>
      <c r="C22">
        <v>2</v>
      </c>
    </row>
    <row r="23" spans="1:3" x14ac:dyDescent="0.3">
      <c r="A23" t="s">
        <v>44</v>
      </c>
      <c r="B23">
        <v>4</v>
      </c>
      <c r="C23">
        <v>4</v>
      </c>
    </row>
    <row r="24" spans="1:3" x14ac:dyDescent="0.3">
      <c r="A24" t="s">
        <v>45</v>
      </c>
      <c r="B24">
        <v>5</v>
      </c>
      <c r="C24">
        <v>4</v>
      </c>
    </row>
    <row r="25" spans="1:3" x14ac:dyDescent="0.3">
      <c r="A25" t="s">
        <v>46</v>
      </c>
      <c r="B25">
        <v>4</v>
      </c>
      <c r="C25">
        <v>4</v>
      </c>
    </row>
    <row r="26" spans="1:3" x14ac:dyDescent="0.3">
      <c r="A26" t="s">
        <v>47</v>
      </c>
      <c r="B26">
        <v>3</v>
      </c>
      <c r="C26">
        <v>3</v>
      </c>
    </row>
    <row r="27" spans="1:3" x14ac:dyDescent="0.3">
      <c r="A27" t="s">
        <v>48</v>
      </c>
      <c r="B27">
        <v>2</v>
      </c>
      <c r="C27">
        <v>2</v>
      </c>
    </row>
    <row r="28" spans="1:3" x14ac:dyDescent="0.3">
      <c r="A28" t="s">
        <v>49</v>
      </c>
      <c r="B28">
        <v>3</v>
      </c>
      <c r="C28">
        <v>3</v>
      </c>
    </row>
    <row r="29" spans="1:3" x14ac:dyDescent="0.3">
      <c r="A29" t="s">
        <v>50</v>
      </c>
      <c r="B29">
        <v>4</v>
      </c>
      <c r="C29">
        <v>4</v>
      </c>
    </row>
    <row r="30" spans="1:3" x14ac:dyDescent="0.3">
      <c r="A30" t="s">
        <v>51</v>
      </c>
      <c r="B30">
        <v>3</v>
      </c>
      <c r="C30">
        <v>3</v>
      </c>
    </row>
    <row r="31" spans="1:3" x14ac:dyDescent="0.3">
      <c r="A31" t="s">
        <v>52</v>
      </c>
      <c r="B31">
        <v>2</v>
      </c>
      <c r="C31">
        <v>2</v>
      </c>
    </row>
    <row r="32" spans="1:3" x14ac:dyDescent="0.3">
      <c r="A32" t="s">
        <v>53</v>
      </c>
      <c r="B32">
        <v>5</v>
      </c>
      <c r="C32">
        <v>4</v>
      </c>
    </row>
    <row r="33" spans="1:3" x14ac:dyDescent="0.3">
      <c r="A33" t="s">
        <v>54</v>
      </c>
      <c r="B33">
        <v>3</v>
      </c>
      <c r="C33">
        <v>3</v>
      </c>
    </row>
    <row r="34" spans="1:3" x14ac:dyDescent="0.3">
      <c r="A34" t="s">
        <v>55</v>
      </c>
      <c r="B34">
        <v>4</v>
      </c>
      <c r="C34">
        <v>4</v>
      </c>
    </row>
    <row r="35" spans="1:3" x14ac:dyDescent="0.3">
      <c r="A35" t="s">
        <v>56</v>
      </c>
      <c r="B35">
        <v>2</v>
      </c>
      <c r="C35">
        <v>2</v>
      </c>
    </row>
    <row r="36" spans="1:3" x14ac:dyDescent="0.3">
      <c r="A36" t="s">
        <v>57</v>
      </c>
      <c r="B36">
        <v>5</v>
      </c>
      <c r="C36">
        <v>4</v>
      </c>
    </row>
    <row r="37" spans="1:3" x14ac:dyDescent="0.3">
      <c r="A37" t="s">
        <v>58</v>
      </c>
      <c r="B37">
        <v>4</v>
      </c>
      <c r="C37">
        <v>4</v>
      </c>
    </row>
    <row r="38" spans="1:3" x14ac:dyDescent="0.3">
      <c r="A38" t="s">
        <v>59</v>
      </c>
      <c r="B38">
        <v>3</v>
      </c>
      <c r="C38">
        <v>3</v>
      </c>
    </row>
    <row r="39" spans="1:3" x14ac:dyDescent="0.3">
      <c r="A39" t="s">
        <v>60</v>
      </c>
      <c r="B39">
        <v>3</v>
      </c>
      <c r="C39">
        <v>3</v>
      </c>
    </row>
    <row r="40" spans="1:3" x14ac:dyDescent="0.3">
      <c r="A40" t="s">
        <v>61</v>
      </c>
      <c r="B40">
        <v>5</v>
      </c>
      <c r="C40">
        <v>4</v>
      </c>
    </row>
    <row r="41" spans="1:3" x14ac:dyDescent="0.3">
      <c r="A41" t="s">
        <v>62</v>
      </c>
      <c r="B41">
        <v>3</v>
      </c>
      <c r="C41">
        <v>3</v>
      </c>
    </row>
    <row r="42" spans="1:3" x14ac:dyDescent="0.3">
      <c r="A42" t="s">
        <v>63</v>
      </c>
      <c r="B42">
        <v>2</v>
      </c>
      <c r="C42">
        <v>2</v>
      </c>
    </row>
    <row r="43" spans="1:3" x14ac:dyDescent="0.3">
      <c r="A43" t="s">
        <v>64</v>
      </c>
      <c r="B43">
        <v>4</v>
      </c>
      <c r="C43">
        <v>4</v>
      </c>
    </row>
    <row r="44" spans="1:3" x14ac:dyDescent="0.3">
      <c r="A44" t="s">
        <v>65</v>
      </c>
      <c r="B44">
        <v>3</v>
      </c>
      <c r="C44">
        <v>3</v>
      </c>
    </row>
    <row r="45" spans="1:3" x14ac:dyDescent="0.3">
      <c r="A45" t="s">
        <v>66</v>
      </c>
      <c r="B45">
        <v>2</v>
      </c>
      <c r="C45">
        <v>2</v>
      </c>
    </row>
    <row r="46" spans="1:3" x14ac:dyDescent="0.3">
      <c r="A46" t="s">
        <v>67</v>
      </c>
      <c r="B46">
        <v>5</v>
      </c>
      <c r="C46">
        <v>5</v>
      </c>
    </row>
    <row r="47" spans="1:3" x14ac:dyDescent="0.3">
      <c r="A47" t="s">
        <v>68</v>
      </c>
      <c r="B47">
        <v>4</v>
      </c>
      <c r="C47">
        <v>4</v>
      </c>
    </row>
    <row r="48" spans="1:3" x14ac:dyDescent="0.3">
      <c r="A48" t="s">
        <v>69</v>
      </c>
      <c r="B48">
        <v>3</v>
      </c>
      <c r="C48">
        <v>3</v>
      </c>
    </row>
    <row r="49" spans="1:3" x14ac:dyDescent="0.3">
      <c r="A49" t="s">
        <v>70</v>
      </c>
      <c r="B49">
        <v>4</v>
      </c>
      <c r="C49">
        <v>4</v>
      </c>
    </row>
    <row r="50" spans="1:3" x14ac:dyDescent="0.3">
      <c r="A50" t="s">
        <v>71</v>
      </c>
      <c r="B50">
        <v>3</v>
      </c>
      <c r="C50">
        <v>3</v>
      </c>
    </row>
    <row r="51" spans="1:3" x14ac:dyDescent="0.3">
      <c r="A51" t="s">
        <v>72</v>
      </c>
      <c r="B51">
        <v>2</v>
      </c>
      <c r="C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Employee_Records</vt:lpstr>
      <vt:lpstr>Attrition_Data</vt:lpstr>
      <vt:lpstr>Satisfaction_Data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nagaraj g</cp:lastModifiedBy>
  <dcterms:created xsi:type="dcterms:W3CDTF">2025-12-15T11:47:53Z</dcterms:created>
  <dcterms:modified xsi:type="dcterms:W3CDTF">2025-12-16T08:14:30Z</dcterms:modified>
</cp:coreProperties>
</file>